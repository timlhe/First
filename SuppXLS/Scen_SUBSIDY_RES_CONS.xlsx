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\Downloads\Models MSc_SELECT_updated-20260606\SuppXLS\"/>
    </mc:Choice>
  </mc:AlternateContent>
  <xr:revisionPtr revIDLastSave="0" documentId="13_ncr:1_{A555ACBD-529C-4EB1-B1BE-D55843B85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_SUBSID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2" l="1"/>
  <c r="F12" i="2"/>
  <c r="F11" i="2"/>
  <c r="F10" i="2"/>
  <c r="F9" i="2"/>
  <c r="F8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" authorId="0" shapeId="0" xr:uid="{A693C5F5-724F-464F-8EF4-E272861549B4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<sst xmlns="http://schemas.openxmlformats.org/spreadsheetml/2006/main" count="38" uniqueCount="11">
  <si>
    <t>Year</t>
  </si>
  <si>
    <t>Cset_CN</t>
  </si>
  <si>
    <t>Attribute</t>
  </si>
  <si>
    <t>~TFM_INS</t>
  </si>
  <si>
    <t>TimeSlice</t>
  </si>
  <si>
    <t>LimType</t>
  </si>
  <si>
    <t>FLO_SUB</t>
  </si>
  <si>
    <t>ELC_GRID_RES</t>
  </si>
  <si>
    <t>Pset_PN</t>
  </si>
  <si>
    <t>ELC_FIN_DEM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</si>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</sst>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</cellXfs>
  <cellStyles count="3">
    <cellStyle name="Normal" xfId="0" builtinId="0"/>
    <cellStyle name="Normal 10" xfId="1" xr:uid="{00000000-0005-0000-0000-000000000000}"/>
    <cellStyle name="Normale_Scen_UC_IND-StrucConst" xfId="2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13</xdr:row>
      <xdr:rowOff>63500</xdr:rowOff>
    </xdr:from>
    <xdr:to>
      <xdr:col>8</xdr:col>
      <xdr:colOff>25400</xdr:colOff>
      <xdr:row>17</xdr:row>
      <xdr:rowOff>22225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86C692-5CBC-45BC-8A15-2A1650BE6027}"/>
            </a:ext>
          </a:extLst>
        </xdr:cNvPr>
        <xdr:cNvSpPr txBox="1"/>
      </xdr:nvSpPr>
      <xdr:spPr>
        <a:xfrm>
          <a:off x="222250" y="2463800"/>
          <a:ext cx="6527800" cy="695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a flow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subsidy on the ELC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_GRD_RES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commodity for the procsses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ELC_FIN_DEM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consuming  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commodity  a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specific year(s) in each region using the FLO_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tabSelected="1" zoomScale="120" zoomScaleNormal="120" workbookViewId="0">
      <selection activeCell="J14" sqref="J14"/>
    </sheetView>
  </sheetViews>
  <sheetFormatPr baseColWidth="10" defaultColWidth="8.88671875" defaultRowHeight="14.4" x14ac:dyDescent="0.3"/>
  <cols>
    <col min="1" max="1" width="2.88671875" customWidth="1"/>
    <col min="2" max="2" width="14.5546875" customWidth="1"/>
    <col min="3" max="3" width="8.6640625" customWidth="1"/>
    <col min="4" max="4" width="11" bestFit="1" customWidth="1"/>
    <col min="5" max="5" width="12" customWidth="1"/>
    <col min="6" max="6" width="10.44140625" customWidth="1"/>
    <col min="7" max="7" width="21.109375" customWidth="1"/>
    <col min="8" max="8" width="17.33203125" customWidth="1"/>
    <col min="9" max="9" width="13" customWidth="1"/>
    <col min="12" max="12" width="12.88671875" customWidth="1"/>
  </cols>
  <sheetData>
    <row r="1" spans="2:8" x14ac:dyDescent="0.3">
      <c r="B1" s="2" t="s">
        <v>3</v>
      </c>
      <c r="G1" s="1"/>
      <c r="H1" s="1"/>
    </row>
    <row r="2" spans="2:8" ht="15" thickBot="1" x14ac:dyDescent="0.35">
      <c r="B2" s="3" t="s">
        <v>4</v>
      </c>
      <c r="C2" s="3" t="s">
        <v>5</v>
      </c>
      <c r="D2" s="3" t="s">
        <v>2</v>
      </c>
      <c r="E2" s="3" t="s">
        <v>0</v>
      </c>
      <c r="F2" s="4" t="s">
        <v>10</v>
      </c>
      <c r="G2" s="5" t="s">
        <v>8</v>
      </c>
      <c r="H2" s="5" t="s">
        <v>1</v>
      </c>
    </row>
    <row r="3" spans="2:8" x14ac:dyDescent="0.3">
      <c r="D3" t="s">
        <v>6</v>
      </c>
      <c r="E3">
        <v>2010</v>
      </c>
      <c r="F3">
        <v>2</v>
      </c>
      <c r="G3" t="s">
        <v>9</v>
      </c>
      <c r="H3" t="s">
        <v>7</v>
      </c>
    </row>
    <row r="4" spans="2:8" x14ac:dyDescent="0.3">
      <c r="D4" t="s">
        <v>6</v>
      </c>
      <c r="E4">
        <v>2050</v>
      </c>
      <c r="F4">
        <v>2</v>
      </c>
      <c r="G4" t="s">
        <v>9</v>
      </c>
      <c r="H4" t="s">
        <v>7</v>
      </c>
    </row>
    <row r="5" spans="2:8" x14ac:dyDescent="0.3">
      <c r="D5" t="s">
        <v>6</v>
      </c>
      <c r="E5">
        <v>0</v>
      </c>
      <c r="F5">
        <v>5</v>
      </c>
      <c r="G5" t="s">
        <v>9</v>
      </c>
      <c r="H5" t="s">
        <v>7</v>
      </c>
    </row>
    <row r="6" spans="2:8" x14ac:dyDescent="0.3">
      <c r="D6" t="s">
        <v>6</v>
      </c>
      <c r="E6">
        <v>2023</v>
      </c>
      <c r="F6">
        <f>0.07*5*1000</f>
        <v>350.00000000000006</v>
      </c>
      <c r="G6" t="s">
        <v>9</v>
      </c>
      <c r="H6" t="s">
        <v>7</v>
      </c>
    </row>
    <row r="7" spans="2:8" x14ac:dyDescent="0.3">
      <c r="D7" t="s">
        <v>6</v>
      </c>
      <c r="E7">
        <v>2025</v>
      </c>
      <c r="F7" s="6">
        <f>0.0803027*5*1000</f>
        <v>401.51350000000002</v>
      </c>
      <c r="G7" t="s">
        <v>9</v>
      </c>
      <c r="H7" t="s">
        <v>7</v>
      </c>
    </row>
    <row r="8" spans="2:8" x14ac:dyDescent="0.3">
      <c r="D8" t="s">
        <v>6</v>
      </c>
      <c r="E8">
        <v>2030</v>
      </c>
      <c r="F8" s="6">
        <f>0.1023421*5*1000</f>
        <v>511.71050000000008</v>
      </c>
      <c r="G8" t="s">
        <v>9</v>
      </c>
      <c r="H8" t="s">
        <v>7</v>
      </c>
    </row>
    <row r="9" spans="2:8" x14ac:dyDescent="0.3">
      <c r="D9" t="s">
        <v>6</v>
      </c>
      <c r="E9">
        <v>2035</v>
      </c>
      <c r="F9" s="6">
        <f>0.1484647*5*1000</f>
        <v>742.32350000000008</v>
      </c>
      <c r="G9" t="s">
        <v>9</v>
      </c>
      <c r="H9" t="s">
        <v>7</v>
      </c>
    </row>
    <row r="10" spans="2:8" x14ac:dyDescent="0.3">
      <c r="D10" t="s">
        <v>6</v>
      </c>
      <c r="E10">
        <v>2040</v>
      </c>
      <c r="F10" s="6">
        <f>0.1984647*5*1000</f>
        <v>992.32349999999997</v>
      </c>
      <c r="G10" t="s">
        <v>9</v>
      </c>
      <c r="H10" t="s">
        <v>7</v>
      </c>
    </row>
    <row r="11" spans="2:8" x14ac:dyDescent="0.3">
      <c r="D11" t="s">
        <v>6</v>
      </c>
      <c r="E11">
        <v>2045</v>
      </c>
      <c r="F11" s="6">
        <f>0.2484647*5*1000</f>
        <v>1242.3235000000002</v>
      </c>
      <c r="G11" t="s">
        <v>9</v>
      </c>
      <c r="H11" t="s">
        <v>7</v>
      </c>
    </row>
    <row r="12" spans="2:8" x14ac:dyDescent="0.3">
      <c r="D12" t="s">
        <v>6</v>
      </c>
      <c r="E12">
        <v>2050</v>
      </c>
      <c r="F12" s="6">
        <f>0.2932147*5*1000</f>
        <v>1466.0735</v>
      </c>
      <c r="G12" t="s">
        <v>9</v>
      </c>
      <c r="H12" t="s">
        <v>7</v>
      </c>
    </row>
  </sheetData>
  <phoneticPr fontId="5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c8a3173f591826d139beec1ab1c321b3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6c64c9e569b4593220799f669190593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5C1AF4FF-0628-4F57-A159-819DC6314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319D87-9F89-465F-A992-21F87A25DE83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8acd6055-54fc-4ce7-b3df-0a09834a0329"/>
    <ds:schemaRef ds:uri="http://schemas.microsoft.com/office/2006/documentManagement/types"/>
    <ds:schemaRef ds:uri="708d6b01-37ca-4db4-bc7f-9b68f32c58b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FLO_SUBSIDY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Tim Lheriau</cp:lastModifiedBy>
  <dcterms:created xsi:type="dcterms:W3CDTF">2009-05-27T15:40:55Z</dcterms:created>
  <dcterms:modified xsi:type="dcterms:W3CDTF">2026-06-09T23:15:06Z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24959743022918</vt:r8>
  </property>
</Properties>
</file>